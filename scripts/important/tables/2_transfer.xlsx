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<sst xmlns="http://schemas.openxmlformats.org/spreadsheetml/2006/main" count="129" uniqueCount="129">
  <si>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各节点接收BTN的钱包地址统计</t>
  </si>
  <si>
    <t>序号</t>
  </si>
  <si>
    <t>名称</t>
  </si>
  <si>
    <t>金额</t>
  </si>
  <si>
    <t>接收BTN地址</t>
  </si>
  <si>
    <t>第一期发币数量</t>
  </si>
  <si>
    <t>拼搏</t>
  </si>
  <si>
    <t>0xC75949b9A4b73BEbfD886133AF8c22Ded4b69f91</t>
  </si>
  <si>
    <t>0x1F563771D039d76D907CA3d173317C5dA6e7583e</t>
  </si>
  <si>
    <t>陈总</t>
  </si>
  <si>
    <t>0xe6f4353116c4E362A8e61C6ae5eF238d5C304585</t>
  </si>
  <si>
    <t>0xab4a4d5Dad74D66Ee64EcAF4bd903eBe1e8ef93d</t>
  </si>
  <si>
    <t>李玉</t>
  </si>
  <si>
    <t>0x2daFAa872a0693800d15BA128cD5a3042220E3E7</t>
  </si>
  <si>
    <t>0x3d2cdA2781224Ff12d2C180d144a906D2B119D91</t>
  </si>
  <si>
    <t>黄涌富</t>
  </si>
  <si>
    <t>0xEcF1037b525A63A9d30951e1622430Bf7BD4C76B</t>
  </si>
  <si>
    <t>0x05A4146aE3d302962989C18eA21CDaE56B3656E5</t>
  </si>
  <si>
    <t>随缘章姐</t>
  </si>
  <si>
    <t>0xAdD819F906390a4342CF7AC09bd20172E58Aa515</t>
  </si>
  <si>
    <t>邹哥</t>
  </si>
  <si>
    <t>0x011363566f2AF86654345AC31591281CA1D6A00e</t>
  </si>
  <si>
    <t>张荣</t>
  </si>
  <si>
    <t>0x07A95E1eec2265641Bfd258AB6362E85D18cdAEe</t>
  </si>
  <si>
    <t>王洪华</t>
  </si>
  <si>
    <t>0x2fb6f9AE5bAe4b94b21b8C81F0e79cb8CFA827DA</t>
  </si>
  <si>
    <t>王冬梅</t>
  </si>
  <si>
    <t>0xE7857112a263552018426C14722F11631780dBcF</t>
  </si>
  <si>
    <t>周广战</t>
  </si>
  <si>
    <t>0x9E7b0A6091ef46dd27aA2E1f7E741203bd08d44a</t>
  </si>
  <si>
    <t>春天</t>
  </si>
  <si>
    <t>0x49414F838d07aF797F644d6FFBcEc2e907c5fdc5</t>
  </si>
  <si>
    <t>张总</t>
  </si>
  <si>
    <t>0x9Cc6e1718C875B2cBd45EAAF997739a6531000B3</t>
  </si>
  <si>
    <t>慈善堂</t>
  </si>
  <si>
    <t>0x9BC38efDf14610D98b7C83d2Fea8599122297320</t>
  </si>
  <si>
    <t>王蕴</t>
  </si>
  <si>
    <t>0x902aBC827ed01a33d55B76Ff0525fe02d3661000</t>
  </si>
  <si>
    <t>刘国华</t>
  </si>
  <si>
    <t>0x9B0097fAA8241C42F823B27873a6335a5Db9D6E4</t>
  </si>
  <si>
    <t>魏东</t>
  </si>
  <si>
    <t>0x0A84aBd98c7EA88F46e1CAA536B66876B6d3BD2f</t>
  </si>
  <si>
    <t>刘辉</t>
  </si>
  <si>
    <t>0x5E78256C6F0c5448A5Cd58Accf464b9E923C3B90</t>
  </si>
  <si>
    <t>梁丽</t>
  </si>
  <si>
    <t>0xD3Fa4cbEb3A3070c5ca09D652024013eB0aE5A1b</t>
  </si>
  <si>
    <t>王建</t>
  </si>
  <si>
    <t>0x19F008b0d8E86d721c7Af998015b89Ad719015d8</t>
  </si>
  <si>
    <t>戚瑞玲</t>
  </si>
  <si>
    <t>0x571554003B107691a9f7F0ceFe45e2C70482AeC7</t>
  </si>
  <si>
    <t>邹洁</t>
  </si>
  <si>
    <t>0xa57Edfb732057d9B961cAD5E1Df5ca09D91E5eBb</t>
  </si>
  <si>
    <t>许惠</t>
  </si>
  <si>
    <t>0xf2eBe3f4f1De97540F7F2eadC8DabD3e2BAff05e</t>
  </si>
  <si>
    <t>溧水程哥</t>
  </si>
  <si>
    <t>0x7C812c223ecFeBaFF593878388174b822716788D</t>
  </si>
  <si>
    <t>于大姐</t>
  </si>
  <si>
    <t>0xe96e39ede60C02c0A81Eb19c262FFE25Feb87367</t>
  </si>
  <si>
    <t>朱海燕</t>
  </si>
  <si>
    <t>0x54Fbcb0713d2ebCcfa42f3FcCCA5dbe4d4277712</t>
  </si>
  <si>
    <t>大唐</t>
  </si>
  <si>
    <t>0x7a0177016990a4DbBa6d0cf0846f5Db9d487f373</t>
  </si>
  <si>
    <t>李薪莱</t>
  </si>
  <si>
    <t>0x954148F780c200729386B5A90597d26f1392C41A</t>
  </si>
  <si>
    <t>缪巧生</t>
  </si>
  <si>
    <t>0xd794Fbd45d71fbdc7cf0eBf7bA1a05207971d0ac</t>
  </si>
  <si>
    <t>红霞</t>
  </si>
  <si>
    <t>0x44dbE3c9bebd040B5C021d080d81106288EB7359</t>
  </si>
  <si>
    <t>唐伯乐</t>
  </si>
  <si>
    <t>0x565b8039a86851d4C58de73fE54c26e7a2eEF5D5</t>
  </si>
  <si>
    <t>张岩</t>
  </si>
  <si>
    <t>0x9B1596F6958265394AD1b754c1F7a587c31f9913</t>
  </si>
  <si>
    <t>紫轩</t>
  </si>
  <si>
    <t>0xD5c0982f89272dcd6b037Ee03600D9DE18fC4b6F</t>
  </si>
  <si>
    <t>李高兴</t>
  </si>
  <si>
    <t>0xD034b05Cff612f7913797708Cc9eB7C587e44E87</t>
  </si>
  <si>
    <t>丹阳吴冬良</t>
  </si>
  <si>
    <t>0xc72BE20a7f2F4b05c12ED91928B239C91A990FdA</t>
  </si>
  <si>
    <t>清哥</t>
  </si>
  <si>
    <t>0x063552b41474CF82ccA34Fd7E229a815f2BfBA75</t>
  </si>
  <si>
    <t>健康产业</t>
  </si>
  <si>
    <t>0x30169414Be4b67B78Ad286bC34FF5A83A1a60e58</t>
  </si>
  <si>
    <t>林</t>
  </si>
  <si>
    <t>0xe3dEd6826c3cb11e6821Dd26F69D1EC082626779</t>
  </si>
  <si>
    <t>瑞香</t>
  </si>
  <si>
    <t>0x3d641142192236C7FCf1fC6EB63E3C5136373B77</t>
  </si>
  <si>
    <t>妙珣</t>
  </si>
  <si>
    <t>0xd73800E1444889a5a248696FDE2Df431826a7b4D</t>
  </si>
  <si>
    <t>田园牧歌</t>
  </si>
  <si>
    <t>0x115f3415a839AA35e0D3298ac8c36c4C76772D97</t>
  </si>
  <si>
    <t>鸿运当头</t>
  </si>
  <si>
    <t>0x7258Ce4f99a035230120A50e224AcA1995C26730</t>
  </si>
  <si>
    <t>鸿运会员</t>
  </si>
  <si>
    <t>0x2325D9060e7A78F695EaB758a63e854FeAe94FB3</t>
  </si>
  <si>
    <t>天津金喆</t>
  </si>
  <si>
    <t>0x555b68F87de2f9988bd0f36cDd3b9b1C53dd349a</t>
  </si>
  <si>
    <t>赵文</t>
  </si>
  <si>
    <t>0xad1831B4121782eAD836fAD108e547cE52D24cA0</t>
  </si>
  <si>
    <t>刘惠东</t>
  </si>
  <si>
    <t>0x46652c04C24ca6d64eCDAD3461b6395E20c017Cc</t>
  </si>
  <si>
    <t>长沙王总</t>
  </si>
  <si>
    <t>0xC91f206f4F72bd988d3851D69928C16501c76746</t>
  </si>
  <si>
    <t>王得志</t>
  </si>
  <si>
    <t>0x6A7e1C7D1f4b74c34c0DCFB25e15c07Fb7D39EBc</t>
  </si>
  <si>
    <t>好睡眠</t>
  </si>
  <si>
    <t>0xdFB69193b602396a0BDB235aAb044a77F71bA4C9</t>
  </si>
  <si>
    <t>李红</t>
  </si>
  <si>
    <t>0xcAfB861F04eEc97aC436985Eaa72099590c60F7D</t>
  </si>
  <si>
    <t>0x3d66Ee807386f5475651548f51ad1B77e0Cc447c</t>
  </si>
  <si>
    <t>付奇</t>
  </si>
  <si>
    <t>0xD3421e2060FBE9D959335a607812Dc07877246F4</t>
  </si>
  <si>
    <t>连云港吴总</t>
  </si>
  <si>
    <t>0x823601d73e2c34570c1d3A6198D2Aa8b18542249</t>
  </si>
  <si>
    <t>郓城霍姐</t>
  </si>
  <si>
    <t>0xbdf9551515e35f5faE4a59A6f9FB674682A5aE7F</t>
  </si>
  <si>
    <t>郓城金哥</t>
  </si>
  <si>
    <t>0x15aD41DBd5F549f0320708a65C72e52Be20a6fb1</t>
  </si>
  <si>
    <t>郓城赵哥</t>
  </si>
  <si>
    <t>0x6bf331Dc63A01844277e19f93fB4fcE1134ECC99</t>
  </si>
  <si>
    <t>定陶陈凤荣</t>
  </si>
  <si>
    <t>0xf9D640cd111249b47845591b97DB1b1a3B965410</t>
  </si>
  <si>
    <t>10%部分筹码接收地址</t>
  </si>
  <si>
    <t>0x7aaf857De5A2880d9F07Fff56C2ba30c46221C3E</t>
  </si>
  <si>
    <t>1000油实时价格购买GAS费</t>
  </si>
  <si>
    <t>0x25748f31322187820F0654DcD63e2f319F28eEc1</t>
  </si>
  <si>
    <t>补之前质押差额100000</t>
  </si>
  <si>
    <t>0xD9A6656cEC6d7592fC8E2BE16eE77fa7BFBB7777</t>
  </si>
  <si>
    <t>0x960B75Fd2CB9f8a61da457b5b7f17004c0687ddD</t>
  </si>
  <si>
    <t>0x5c1F1F54840900067Dd45c7742ec3DEcA6e9ec2E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</si>
</sst>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58" fontId="0" fillId="0" borderId="0" xfId="0" applyNumberFormat="1">
      <alignment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8576"/>
  <sheetViews>
    <sheetView tabSelected="1" topLeftCell="A49" workbookViewId="0">
      <selection activeCell="I56" sqref="I56"/>
    </sheetView>
  </sheetViews>
  <sheetFormatPr defaultColWidth="9" defaultRowHeight="24" customHeight="1"/>
  <cols>
    <col min="1" max="1" width="8" style="3" customWidth="1"/>
    <col min="2" max="2" width="12.375" style="3" customWidth="1"/>
    <col min="3" max="3" width="11.625" style="3" customWidth="1"/>
    <col min="4" max="4" width="47.375" style="4" customWidth="1"/>
    <col min="5" max="5" width="15.375" customWidth="1"/>
  </cols>
  <sheetData>
    <row r="1" s="1" customFormat="1" ht="43" customHeight="1" spans="1:5">
      <c r="A1" s="5" t="s">
        <v>0</v>
      </c>
      <c r="B1" s="5"/>
      <c r="C1" s="5"/>
      <c r="D1" s="5"/>
      <c r="E1" s="5"/>
    </row>
    <row r="2" s="1" customFormat="1" customHeight="1" spans="1:5">
      <c r="A2" s="6" t="s">
        <v>1</v>
      </c>
      <c r="B2" s="7" t="s">
        <v>2</v>
      </c>
      <c r="C2" s="7" t="s">
        <v>3</v>
      </c>
      <c r="D2" s="7" t="s">
        <v>4</v>
      </c>
      <c r="E2" s="11" t="s">
        <v>5</v>
      </c>
    </row>
    <row r="3" s="2" customFormat="1" customHeight="1" spans="1:5">
      <c r="A3" s="8">
        <v>1</v>
      </c>
      <c r="B3" s="9" t="s">
        <v>6</v>
      </c>
      <c r="C3" s="9">
        <v>2000</v>
      </c>
      <c r="D3" s="9" t="s">
        <v>7</v>
      </c>
      <c r="E3" s="12">
        <f>1000/0.01*50%</f>
        <v>50000</v>
      </c>
    </row>
    <row r="4" s="2" customFormat="1" customHeight="1" spans="1:5">
      <c r="A4" s="8"/>
      <c r="B4" s="9"/>
      <c r="C4" s="9">
        <v>2000</v>
      </c>
      <c r="D4" s="9" t="s">
        <v>8</v>
      </c>
      <c r="E4" s="12">
        <f>1000/0.01*50%</f>
        <v>50000</v>
      </c>
    </row>
    <row r="5" customHeight="1" spans="1:6">
      <c r="A5" s="8">
        <v>2</v>
      </c>
      <c r="B5" s="10" t="s">
        <v>9</v>
      </c>
      <c r="C5" s="10">
        <v>2000</v>
      </c>
      <c r="D5" s="10" t="s">
        <v>10</v>
      </c>
      <c r="E5" s="12">
        <f t="shared" ref="E4:E10" si="0">1000/0.01*50%</f>
        <v>50000</v>
      </c>
      <c r="F5" s="2"/>
    </row>
    <row r="6" customHeight="1" spans="1:6">
      <c r="A6" s="8"/>
      <c r="B6" s="10"/>
      <c r="C6" s="10">
        <v>2000</v>
      </c>
      <c r="D6" s="10" t="s">
        <v>11</v>
      </c>
      <c r="E6" s="12">
        <f t="shared" si="0"/>
        <v>50000</v>
      </c>
      <c r="F6" s="2"/>
    </row>
    <row r="7" customHeight="1" spans="1:6">
      <c r="A7" s="8">
        <v>3</v>
      </c>
      <c r="B7" s="10" t="s">
        <v>12</v>
      </c>
      <c r="C7" s="10">
        <v>2000</v>
      </c>
      <c r="D7" s="10" t="s">
        <v>13</v>
      </c>
      <c r="E7" s="12">
        <f t="shared" si="0"/>
        <v>50000</v>
      </c>
      <c r="F7" s="2"/>
    </row>
    <row r="8" customHeight="1" spans="1:6">
      <c r="A8" s="8"/>
      <c r="B8" s="10"/>
      <c r="C8" s="10">
        <v>2000</v>
      </c>
      <c r="D8" s="10" t="s">
        <v>14</v>
      </c>
      <c r="E8" s="12">
        <f t="shared" si="0"/>
        <v>50000</v>
      </c>
      <c r="F8" s="2"/>
    </row>
    <row r="9" customHeight="1" spans="1:6">
      <c r="A9" s="8">
        <v>4</v>
      </c>
      <c r="B9" s="10" t="s">
        <v>15</v>
      </c>
      <c r="C9" s="10">
        <v>2000</v>
      </c>
      <c r="D9" s="10" t="s">
        <v>16</v>
      </c>
      <c r="E9" s="12">
        <f t="shared" si="0"/>
        <v>50000</v>
      </c>
      <c r="F9" s="2"/>
    </row>
    <row r="10" customHeight="1" spans="1:5">
      <c r="A10" s="8"/>
      <c r="B10" s="10"/>
      <c r="C10" s="10">
        <v>2000</v>
      </c>
      <c r="D10" s="10" t="s">
        <v>17</v>
      </c>
      <c r="E10" s="12">
        <f t="shared" si="0"/>
        <v>50000</v>
      </c>
    </row>
    <row r="11" customHeight="1" spans="1:5">
      <c r="A11" s="8">
        <v>5</v>
      </c>
      <c r="B11" s="10" t="s">
        <v>18</v>
      </c>
      <c r="C11" s="10">
        <v>2000</v>
      </c>
      <c r="D11" s="10" t="s">
        <v>19</v>
      </c>
      <c r="E11" s="13">
        <f>C11/0.02*50%</f>
        <v>50000</v>
      </c>
    </row>
    <row r="12" customHeight="1" spans="1:5">
      <c r="A12" s="8">
        <v>6</v>
      </c>
      <c r="B12" s="10" t="s">
        <v>20</v>
      </c>
      <c r="C12" s="10">
        <v>500</v>
      </c>
      <c r="D12" s="10" t="s">
        <v>21</v>
      </c>
      <c r="E12" s="13">
        <f t="shared" ref="E12:E63" si="1">C12/0.02*50%</f>
        <v>12500</v>
      </c>
    </row>
    <row r="13" customHeight="1" spans="1:5">
      <c r="A13" s="8">
        <v>7</v>
      </c>
      <c r="B13" s="10" t="s">
        <v>22</v>
      </c>
      <c r="C13" s="10">
        <v>1000</v>
      </c>
      <c r="D13" s="10" t="s">
        <v>23</v>
      </c>
      <c r="E13" s="13">
        <f t="shared" si="1"/>
        <v>25000</v>
      </c>
    </row>
    <row r="14" customHeight="1" spans="1:5">
      <c r="A14" s="8">
        <v>8</v>
      </c>
      <c r="B14" s="10" t="s">
        <v>24</v>
      </c>
      <c r="C14" s="10">
        <v>1000</v>
      </c>
      <c r="D14" s="10" t="s">
        <v>25</v>
      </c>
      <c r="E14" s="13">
        <f t="shared" si="1"/>
        <v>25000</v>
      </c>
    </row>
    <row r="15" customHeight="1" spans="1:5">
      <c r="A15" s="8">
        <v>9</v>
      </c>
      <c r="B15" s="10" t="s">
        <v>26</v>
      </c>
      <c r="C15" s="10">
        <v>1000</v>
      </c>
      <c r="D15" s="10" t="s">
        <v>27</v>
      </c>
      <c r="E15" s="13">
        <f t="shared" si="1"/>
        <v>25000</v>
      </c>
    </row>
    <row r="16" customHeight="1" spans="1:5">
      <c r="A16" s="8">
        <v>10</v>
      </c>
      <c r="B16" s="10" t="s">
        <v>28</v>
      </c>
      <c r="C16" s="10">
        <v>1000</v>
      </c>
      <c r="D16" s="10" t="s">
        <v>29</v>
      </c>
      <c r="E16" s="13">
        <f t="shared" si="1"/>
        <v>25000</v>
      </c>
    </row>
    <row r="17" customHeight="1" spans="1:5">
      <c r="A17" s="8">
        <v>11</v>
      </c>
      <c r="B17" s="10" t="s">
        <v>30</v>
      </c>
      <c r="C17" s="10">
        <v>500</v>
      </c>
      <c r="D17" s="10" t="s">
        <v>31</v>
      </c>
      <c r="E17" s="13">
        <f t="shared" si="1"/>
        <v>12500</v>
      </c>
    </row>
    <row r="18" customHeight="1" spans="1:5">
      <c r="A18" s="8">
        <v>12</v>
      </c>
      <c r="B18" s="10" t="s">
        <v>32</v>
      </c>
      <c r="C18" s="10">
        <v>500</v>
      </c>
      <c r="D18" s="10" t="s">
        <v>33</v>
      </c>
      <c r="E18" s="13">
        <f t="shared" si="1"/>
        <v>12500</v>
      </c>
    </row>
    <row r="19" customHeight="1" spans="1:5">
      <c r="A19" s="8">
        <v>13</v>
      </c>
      <c r="B19" s="10" t="s">
        <v>34</v>
      </c>
      <c r="C19" s="10">
        <v>500</v>
      </c>
      <c r="D19" s="10" t="s">
        <v>35</v>
      </c>
      <c r="E19" s="13">
        <f t="shared" si="1"/>
        <v>12500</v>
      </c>
    </row>
    <row r="20" customHeight="1" spans="1:5">
      <c r="A20" s="8">
        <v>14</v>
      </c>
      <c r="B20" s="10" t="s">
        <v>36</v>
      </c>
      <c r="C20" s="10">
        <v>1000</v>
      </c>
      <c r="D20" s="10" t="s">
        <v>37</v>
      </c>
      <c r="E20" s="13">
        <f t="shared" si="1"/>
        <v>25000</v>
      </c>
    </row>
    <row r="21" customHeight="1" spans="1:5">
      <c r="A21" s="8">
        <v>15</v>
      </c>
      <c r="B21" s="10" t="s">
        <v>38</v>
      </c>
      <c r="C21" s="10">
        <v>500</v>
      </c>
      <c r="D21" s="10" t="s">
        <v>39</v>
      </c>
      <c r="E21" s="13">
        <f t="shared" si="1"/>
        <v>12500</v>
      </c>
    </row>
    <row r="22" customHeight="1" spans="1:5">
      <c r="A22" s="8">
        <v>16</v>
      </c>
      <c r="B22" s="10" t="s">
        <v>40</v>
      </c>
      <c r="C22" s="10">
        <v>1000</v>
      </c>
      <c r="D22" s="10" t="s">
        <v>41</v>
      </c>
      <c r="E22" s="13">
        <f t="shared" si="1"/>
        <v>25000</v>
      </c>
    </row>
    <row r="23" customHeight="1" spans="1:5">
      <c r="A23" s="8">
        <v>17</v>
      </c>
      <c r="B23" s="10" t="s">
        <v>42</v>
      </c>
      <c r="C23" s="10">
        <v>2000</v>
      </c>
      <c r="D23" s="10" t="s">
        <v>43</v>
      </c>
      <c r="E23" s="13">
        <f t="shared" si="1"/>
        <v>50000</v>
      </c>
    </row>
    <row r="24" customHeight="1" spans="1:5">
      <c r="A24" s="8">
        <v>18</v>
      </c>
      <c r="B24" s="10" t="s">
        <v>44</v>
      </c>
      <c r="C24" s="10">
        <v>1000</v>
      </c>
      <c r="D24" s="10" t="s">
        <v>45</v>
      </c>
      <c r="E24" s="13">
        <f t="shared" si="1"/>
        <v>25000</v>
      </c>
    </row>
    <row r="25" customHeight="1" spans="1:5">
      <c r="A25" s="8">
        <v>19</v>
      </c>
      <c r="B25" s="10" t="s">
        <v>46</v>
      </c>
      <c r="C25" s="10">
        <v>500</v>
      </c>
      <c r="D25" s="10" t="s">
        <v>47</v>
      </c>
      <c r="E25" s="13">
        <f t="shared" si="1"/>
        <v>12500</v>
      </c>
    </row>
    <row r="26" customHeight="1" spans="1:5">
      <c r="A26" s="8">
        <v>20</v>
      </c>
      <c r="B26" s="10" t="s">
        <v>48</v>
      </c>
      <c r="C26" s="10">
        <v>500</v>
      </c>
      <c r="D26" s="10" t="s">
        <v>49</v>
      </c>
      <c r="E26" s="13">
        <f t="shared" si="1"/>
        <v>12500</v>
      </c>
    </row>
    <row r="27" customHeight="1" spans="1:5">
      <c r="A27" s="8">
        <v>21</v>
      </c>
      <c r="B27" s="10" t="s">
        <v>50</v>
      </c>
      <c r="C27" s="10">
        <v>500</v>
      </c>
      <c r="D27" s="10" t="s">
        <v>51</v>
      </c>
      <c r="E27" s="13">
        <f t="shared" si="1"/>
        <v>12500</v>
      </c>
    </row>
    <row r="28" customHeight="1" spans="1:5">
      <c r="A28" s="8">
        <v>22</v>
      </c>
      <c r="B28" s="10" t="s">
        <v>52</v>
      </c>
      <c r="C28" s="10">
        <v>500</v>
      </c>
      <c r="D28" s="10" t="s">
        <v>53</v>
      </c>
      <c r="E28" s="13">
        <f t="shared" si="1"/>
        <v>12500</v>
      </c>
    </row>
    <row r="29" customHeight="1" spans="1:5">
      <c r="A29" s="8">
        <v>23</v>
      </c>
      <c r="B29" s="10" t="s">
        <v>54</v>
      </c>
      <c r="C29" s="10">
        <v>1000</v>
      </c>
      <c r="D29" s="10" t="s">
        <v>55</v>
      </c>
      <c r="E29" s="13">
        <f t="shared" si="1"/>
        <v>25000</v>
      </c>
    </row>
    <row r="30" customHeight="1" spans="1:5">
      <c r="A30" s="8">
        <v>24</v>
      </c>
      <c r="B30" s="10" t="s">
        <v>56</v>
      </c>
      <c r="C30" s="10">
        <v>500</v>
      </c>
      <c r="D30" s="10" t="s">
        <v>57</v>
      </c>
      <c r="E30" s="13">
        <f t="shared" si="1"/>
        <v>12500</v>
      </c>
    </row>
    <row r="31" customHeight="1" spans="1:5">
      <c r="A31" s="8">
        <v>25</v>
      </c>
      <c r="B31" s="10" t="s">
        <v>58</v>
      </c>
      <c r="C31" s="10">
        <v>500</v>
      </c>
      <c r="D31" s="10" t="s">
        <v>59</v>
      </c>
      <c r="E31" s="13">
        <f t="shared" si="1"/>
        <v>12500</v>
      </c>
    </row>
    <row r="32" customHeight="1" spans="1:5">
      <c r="A32" s="8">
        <v>26</v>
      </c>
      <c r="B32" s="10" t="s">
        <v>60</v>
      </c>
      <c r="C32" s="10">
        <v>500</v>
      </c>
      <c r="D32" s="10" t="s">
        <v>61</v>
      </c>
      <c r="E32" s="13">
        <f t="shared" si="1"/>
        <v>12500</v>
      </c>
    </row>
    <row r="33" customHeight="1" spans="1:5">
      <c r="A33" s="8">
        <v>27</v>
      </c>
      <c r="B33" s="10" t="s">
        <v>62</v>
      </c>
      <c r="C33" s="10">
        <v>500</v>
      </c>
      <c r="D33" s="10" t="s">
        <v>63</v>
      </c>
      <c r="E33" s="13">
        <f t="shared" si="1"/>
        <v>12500</v>
      </c>
    </row>
    <row r="34" customHeight="1" spans="1:5">
      <c r="A34" s="8">
        <v>28</v>
      </c>
      <c r="B34" s="10" t="s">
        <v>64</v>
      </c>
      <c r="C34" s="10">
        <v>500</v>
      </c>
      <c r="D34" s="10" t="s">
        <v>65</v>
      </c>
      <c r="E34" s="13">
        <f t="shared" si="1"/>
        <v>12500</v>
      </c>
    </row>
    <row r="35" customHeight="1" spans="1:5">
      <c r="A35" s="8">
        <v>29</v>
      </c>
      <c r="B35" s="10" t="s">
        <v>66</v>
      </c>
      <c r="C35" s="10">
        <v>500</v>
      </c>
      <c r="D35" s="10" t="s">
        <v>67</v>
      </c>
      <c r="E35" s="13">
        <f t="shared" si="1"/>
        <v>12500</v>
      </c>
    </row>
    <row r="36" customHeight="1" spans="1:5">
      <c r="A36" s="8">
        <v>30</v>
      </c>
      <c r="B36" s="10" t="s">
        <v>68</v>
      </c>
      <c r="C36" s="10">
        <v>500</v>
      </c>
      <c r="D36" s="10" t="s">
        <v>69</v>
      </c>
      <c r="E36" s="13">
        <f t="shared" si="1"/>
        <v>12500</v>
      </c>
    </row>
    <row r="37" customHeight="1" spans="1:5">
      <c r="A37" s="8">
        <v>31</v>
      </c>
      <c r="B37" s="10" t="s">
        <v>70</v>
      </c>
      <c r="C37" s="10">
        <v>500</v>
      </c>
      <c r="D37" s="10" t="s">
        <v>71</v>
      </c>
      <c r="E37" s="13">
        <f t="shared" si="1"/>
        <v>12500</v>
      </c>
    </row>
    <row r="38" customHeight="1" spans="1:5">
      <c r="A38" s="8">
        <v>32</v>
      </c>
      <c r="B38" s="10" t="s">
        <v>72</v>
      </c>
      <c r="C38" s="10">
        <v>500</v>
      </c>
      <c r="D38" s="10" t="s">
        <v>73</v>
      </c>
      <c r="E38" s="13">
        <f t="shared" si="1"/>
        <v>12500</v>
      </c>
    </row>
    <row r="39" customHeight="1" spans="1:5">
      <c r="A39" s="8">
        <v>33</v>
      </c>
      <c r="B39" s="10" t="s">
        <v>74</v>
      </c>
      <c r="C39" s="10">
        <v>500</v>
      </c>
      <c r="D39" s="10" t="s">
        <v>75</v>
      </c>
      <c r="E39" s="13">
        <f t="shared" si="1"/>
        <v>12500</v>
      </c>
    </row>
    <row r="40" customHeight="1" spans="1:5">
      <c r="A40" s="8">
        <v>34</v>
      </c>
      <c r="B40" s="10" t="s">
        <v>76</v>
      </c>
      <c r="C40" s="10">
        <v>1000</v>
      </c>
      <c r="D40" s="10" t="s">
        <v>77</v>
      </c>
      <c r="E40" s="13">
        <f t="shared" si="1"/>
        <v>25000</v>
      </c>
    </row>
    <row r="41" customHeight="1" spans="1:5">
      <c r="A41" s="8">
        <v>36</v>
      </c>
      <c r="B41" s="10" t="s">
        <v>78</v>
      </c>
      <c r="C41" s="10">
        <v>500</v>
      </c>
      <c r="D41" s="10" t="s">
        <v>79</v>
      </c>
      <c r="E41" s="13">
        <f t="shared" si="1"/>
        <v>12500</v>
      </c>
    </row>
    <row r="42" customHeight="1" spans="1:5">
      <c r="A42" s="8">
        <v>37</v>
      </c>
      <c r="B42" s="10" t="s">
        <v>80</v>
      </c>
      <c r="C42" s="10">
        <v>500</v>
      </c>
      <c r="D42" s="10" t="s">
        <v>81</v>
      </c>
      <c r="E42" s="13">
        <f t="shared" si="1"/>
        <v>12500</v>
      </c>
    </row>
    <row r="43" customHeight="1" spans="1:5">
      <c r="A43" s="8">
        <v>38</v>
      </c>
      <c r="B43" s="10" t="s">
        <v>82</v>
      </c>
      <c r="C43" s="10">
        <v>500</v>
      </c>
      <c r="D43" s="10" t="s">
        <v>83</v>
      </c>
      <c r="E43" s="13">
        <f t="shared" si="1"/>
        <v>12500</v>
      </c>
    </row>
    <row r="44" customHeight="1" spans="1:5">
      <c r="A44" s="8">
        <v>39</v>
      </c>
      <c r="B44" s="10" t="s">
        <v>84</v>
      </c>
      <c r="C44" s="10">
        <v>1000</v>
      </c>
      <c r="D44" s="10" t="s">
        <v>85</v>
      </c>
      <c r="E44" s="13">
        <f t="shared" si="1"/>
        <v>25000</v>
      </c>
    </row>
    <row r="45" customHeight="1" spans="1:5">
      <c r="A45" s="8">
        <v>40</v>
      </c>
      <c r="B45" s="10" t="s">
        <v>86</v>
      </c>
      <c r="C45" s="10">
        <v>1000</v>
      </c>
      <c r="D45" s="10" t="s">
        <v>87</v>
      </c>
      <c r="E45" s="13">
        <f t="shared" si="1"/>
        <v>25000</v>
      </c>
    </row>
    <row r="46" customHeight="1" spans="1:5">
      <c r="A46" s="8">
        <v>41</v>
      </c>
      <c r="B46" s="10" t="s">
        <v>88</v>
      </c>
      <c r="C46" s="10">
        <v>500</v>
      </c>
      <c r="D46" s="10" t="s">
        <v>89</v>
      </c>
      <c r="E46" s="13">
        <f t="shared" si="1"/>
        <v>12500</v>
      </c>
    </row>
    <row r="47" customHeight="1" spans="1:5">
      <c r="A47" s="8">
        <v>42</v>
      </c>
      <c r="B47" s="10" t="s">
        <v>90</v>
      </c>
      <c r="C47" s="10">
        <v>500</v>
      </c>
      <c r="D47" s="10" t="s">
        <v>91</v>
      </c>
      <c r="E47" s="13">
        <f t="shared" si="1"/>
        <v>12500</v>
      </c>
    </row>
    <row r="48" customHeight="1" spans="1:5">
      <c r="A48" s="8">
        <v>43</v>
      </c>
      <c r="B48" s="10" t="s">
        <v>92</v>
      </c>
      <c r="C48" s="10">
        <v>500</v>
      </c>
      <c r="D48" s="10" t="s">
        <v>93</v>
      </c>
      <c r="E48" s="13">
        <f t="shared" si="1"/>
        <v>12500</v>
      </c>
    </row>
    <row r="49" customHeight="1" spans="1:5">
      <c r="A49" s="8">
        <v>44</v>
      </c>
      <c r="B49" s="10" t="s">
        <v>94</v>
      </c>
      <c r="C49" s="10">
        <v>1000</v>
      </c>
      <c r="D49" s="10" t="s">
        <v>95</v>
      </c>
      <c r="E49" s="13">
        <f t="shared" si="1"/>
        <v>25000</v>
      </c>
    </row>
    <row r="50" customHeight="1" spans="1:5">
      <c r="A50" s="8">
        <v>45</v>
      </c>
      <c r="B50" s="10" t="s">
        <v>96</v>
      </c>
      <c r="C50" s="10">
        <v>500</v>
      </c>
      <c r="D50" s="10" t="s">
        <v>97</v>
      </c>
      <c r="E50" s="13">
        <f t="shared" si="1"/>
        <v>12500</v>
      </c>
    </row>
    <row r="51" customHeight="1" spans="1:5">
      <c r="A51" s="8">
        <v>46</v>
      </c>
      <c r="B51" s="10" t="s">
        <v>98</v>
      </c>
      <c r="C51" s="10">
        <v>500</v>
      </c>
      <c r="D51" s="10" t="s">
        <v>99</v>
      </c>
      <c r="E51" s="13">
        <f t="shared" si="1"/>
        <v>12500</v>
      </c>
    </row>
    <row r="52" customHeight="1" spans="1:5">
      <c r="A52" s="8">
        <v>47</v>
      </c>
      <c r="B52" s="10" t="s">
        <v>100</v>
      </c>
      <c r="C52" s="10">
        <v>1000</v>
      </c>
      <c r="D52" s="10" t="s">
        <v>101</v>
      </c>
      <c r="E52" s="13">
        <f t="shared" si="1"/>
        <v>25000</v>
      </c>
    </row>
    <row r="53" customHeight="1" spans="1:5">
      <c r="A53" s="8">
        <v>48</v>
      </c>
      <c r="B53" s="10" t="s">
        <v>102</v>
      </c>
      <c r="C53" s="10">
        <v>500</v>
      </c>
      <c r="D53" s="10" t="s">
        <v>103</v>
      </c>
      <c r="E53" s="13">
        <f t="shared" si="1"/>
        <v>12500</v>
      </c>
    </row>
    <row r="54" customHeight="1" spans="1:5">
      <c r="A54" s="8">
        <v>49</v>
      </c>
      <c r="B54" s="10" t="s">
        <v>104</v>
      </c>
      <c r="C54" s="10">
        <v>500</v>
      </c>
      <c r="D54" s="10" t="s">
        <v>105</v>
      </c>
      <c r="E54" s="13">
        <f t="shared" si="1"/>
        <v>12500</v>
      </c>
    </row>
    <row r="55" customHeight="1" spans="1:11">
      <c r="A55" s="8">
        <v>50</v>
      </c>
      <c r="B55" s="10" t="s">
        <v>106</v>
      </c>
      <c r="C55" s="10">
        <v>500</v>
      </c>
      <c r="D55" s="10" t="s">
        <v>107</v>
      </c>
      <c r="E55" s="13">
        <f t="shared" si="1"/>
        <v>12500</v>
      </c>
      <c r="K55" s="15"/>
    </row>
    <row r="56" customHeight="1" spans="1:5">
      <c r="A56" s="8">
        <v>51</v>
      </c>
      <c r="B56" s="10"/>
      <c r="C56" s="10">
        <v>500</v>
      </c>
      <c r="D56" s="10" t="s">
        <v>108</v>
      </c>
      <c r="E56" s="13">
        <f t="shared" si="1"/>
        <v>12500</v>
      </c>
    </row>
    <row r="57" customHeight="1" spans="1:5">
      <c r="A57" s="8">
        <v>52</v>
      </c>
      <c r="B57" s="10" t="s">
        <v>109</v>
      </c>
      <c r="C57" s="10">
        <v>500</v>
      </c>
      <c r="D57" s="10" t="s">
        <v>110</v>
      </c>
      <c r="E57" s="13">
        <f t="shared" si="1"/>
        <v>12500</v>
      </c>
    </row>
    <row r="58" customHeight="1" spans="1:5">
      <c r="A58" s="8">
        <v>53</v>
      </c>
      <c r="B58" s="10" t="s">
        <v>111</v>
      </c>
      <c r="C58" s="10">
        <v>1000</v>
      </c>
      <c r="D58" s="10" t="s">
        <v>112</v>
      </c>
      <c r="E58" s="13">
        <f t="shared" si="1"/>
        <v>25000</v>
      </c>
    </row>
    <row r="59" customHeight="1" spans="1:5">
      <c r="A59" s="8">
        <v>54</v>
      </c>
      <c r="B59" s="10" t="s">
        <v>113</v>
      </c>
      <c r="C59" s="10">
        <v>500</v>
      </c>
      <c r="D59" s="10" t="s">
        <v>114</v>
      </c>
      <c r="E59" s="13">
        <f t="shared" si="1"/>
        <v>12500</v>
      </c>
    </row>
    <row r="60" customHeight="1" spans="1:5">
      <c r="A60" s="8">
        <v>55</v>
      </c>
      <c r="B60" s="10" t="s">
        <v>115</v>
      </c>
      <c r="C60" s="10">
        <v>500</v>
      </c>
      <c r="D60" s="10" t="s">
        <v>116</v>
      </c>
      <c r="E60" s="13">
        <f t="shared" si="1"/>
        <v>12500</v>
      </c>
    </row>
    <row r="61" customHeight="1" spans="1:5">
      <c r="A61" s="8">
        <v>56</v>
      </c>
      <c r="B61" s="10" t="s">
        <v>117</v>
      </c>
      <c r="C61" s="10">
        <v>500</v>
      </c>
      <c r="D61" s="10" t="s">
        <v>118</v>
      </c>
      <c r="E61" s="13">
        <f t="shared" si="1"/>
        <v>12500</v>
      </c>
    </row>
    <row r="62" customHeight="1" spans="1:5">
      <c r="A62" s="8">
        <v>57</v>
      </c>
      <c r="B62" s="10" t="s">
        <v>119</v>
      </c>
      <c r="C62" s="10">
        <v>2000</v>
      </c>
      <c r="D62" s="10" t="s">
        <v>120</v>
      </c>
      <c r="E62" s="13">
        <f>C62/0.02*50%</f>
        <v>50000</v>
      </c>
    </row>
    <row r="63" customHeight="1" spans="1:5">
      <c r="A63" s="8"/>
      <c r="B63" s="10" t="s">
        <v>121</v>
      </c>
      <c r="C63" s="10"/>
      <c r="D63" s="10" t="s">
        <v>122</v>
      </c>
      <c r="E63" s="14">
        <f>SUM(C11:C62)/0.018-SUM(C11:C62)/0.02</f>
        <v>208333.333333333</v>
      </c>
    </row>
    <row r="64" customHeight="1" spans="1:5">
      <c r="A64" s="8"/>
      <c r="B64" s="10" t="s">
        <v>123</v>
      </c>
      <c r="C64" s="10"/>
      <c r="D64" s="10" t="s">
        <v>124</v>
      </c>
      <c r="E64" s="14">
        <f>1000/0.018</f>
        <v>55555.5555555556</v>
      </c>
    </row>
    <row r="65" customHeight="1" spans="1:5">
      <c r="A65" s="16"/>
      <c r="B65" s="10" t="s">
        <v>125</v>
      </c>
      <c r="C65" s="10"/>
      <c r="D65" s="10" t="s">
        <v>126</v>
      </c>
      <c r="E65" s="13">
        <v>50000</v>
      </c>
    </row>
    <row r="66" customHeight="1" spans="1:5">
      <c r="A66" s="16"/>
      <c r="B66" s="10"/>
      <c r="C66" s="10"/>
      <c r="D66" s="10" t="s">
        <v>127</v>
      </c>
      <c r="E66" s="13">
        <v>50000</v>
      </c>
    </row>
    <row r="67" customHeight="1" spans="1:5">
      <c r="A67" s="17"/>
      <c r="B67" s="18"/>
      <c r="C67" s="18"/>
      <c r="D67" s="18" t="s">
        <v>128</v>
      </c>
      <c r="E67" s="19">
        <v>25000</v>
      </c>
    </row>
    <row r="1048576" customHeight="1" spans="6:6">
      <c r="F1048576" s="2">
        <v>5000</v>
      </c>
    </row>
  </sheetData>
  <mergeCells count="4">
    <mergeCell ref="A1:E1"/>
    <mergeCell ref="B63:C63"/>
    <mergeCell ref="B64:C64"/>
    <mergeCell ref="B65:C6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J..C</cp:lastModifiedBy>
  <dcterms:created xsi:type="dcterms:W3CDTF">2023-05-13T03:15:00Z</dcterms:created>
  <dcterms:modified xsi:type="dcterms:W3CDTF">2025-05-07T21:11:26Z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E3D2315CA7C24291B4C8221D29A84B1A_13</vt:lpwstr>
  </property>
</Properties>
</file>